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%"/>
    <numFmt numFmtId="166" formatCode="0.0"/>
    <numFmt numFmtId="167" formatCode="0.0000"/>
    <numFmt numFmtId="168" formatCode="&quot;$&quot;#,##0.00;(&quot;$&quot;#,##0.00);-"/>
    <numFmt numFmtId="169" formatCode="&quot;$&quot;#,##0.00"/>
    <numFmt numFmtId="170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pivotButton="0" quotePrefix="0" xfId="0"/>
    <xf numFmtId="0" fontId="4" fillId="0" borderId="0" pivotButton="0" quotePrefix="0" xfId="0"/>
    <xf numFmtId="165" fontId="3" fillId="2" borderId="1" pivotButton="0" quotePrefix="0" xfId="0"/>
    <xf numFmtId="166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3" fontId="0" fillId="0" borderId="1" pivotButton="0" quotePrefix="0" xfId="0"/>
    <xf numFmtId="1" fontId="0" fillId="0" borderId="1" pivotButton="0" quotePrefix="0" xfId="0"/>
    <xf numFmtId="167" fontId="0" fillId="0" borderId="1" pivotButton="0" quotePrefix="0" xfId="0"/>
    <xf numFmtId="166" fontId="3" fillId="2" borderId="1" pivotButton="0" quotePrefix="0" xfId="0"/>
    <xf numFmtId="168" fontId="3" fillId="2" borderId="1" pivotButton="0" quotePrefix="0" xfId="0"/>
    <xf numFmtId="169" fontId="6" fillId="0" borderId="1" pivotButton="0" quotePrefix="0" xfId="0"/>
    <xf numFmtId="170" fontId="6" fillId="0" borderId="1" pivotButton="0" quotePrefix="0" xfId="0"/>
    <xf numFmtId="10" fontId="6" fillId="0" borderId="1" pivotButton="0" quotePrefix="0" xfId="0"/>
    <xf numFmtId="0" fontId="2" fillId="4" borderId="1" pivotButton="0" quotePrefix="0" xfId="0"/>
    <xf numFmtId="0" fontId="0" fillId="4" borderId="1" applyAlignment="1" pivotButton="0" quotePrefix="0" xfId="0">
      <alignment horizontal="center" vertical="center"/>
    </xf>
    <xf numFmtId="166" fontId="7" fillId="2" borderId="1" pivotButton="0" quotePrefix="0" xfId="0"/>
    <xf numFmtId="168" fontId="7" fillId="2" borderId="1" pivotButton="0" quotePrefix="0" xfId="0"/>
    <xf numFmtId="169" fontId="2" fillId="4" borderId="1" pivotButton="0" quotePrefix="0" xfId="0"/>
    <xf numFmtId="170" fontId="2" fillId="4" borderId="1" pivotButton="0" quotePrefix="0" xfId="0"/>
    <xf numFmtId="1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11" customWidth="1" min="4" max="4"/>
    <col width="10" customWidth="1" min="5" max="5"/>
    <col width="15" customWidth="1" min="6" max="6"/>
    <col width="15" customWidth="1" min="7" max="7"/>
    <col width="15" customWidth="1" min="8" max="8"/>
    <col width="16" customWidth="1" min="9" max="9"/>
    <col width="13" customWidth="1" min="10" max="10"/>
    <col width="12" customWidth="1" min="11" max="11"/>
  </cols>
  <sheetData>
    <row r="1" ht="22" customHeight="1">
      <c r="A1" s="1" t="inlineStr">
        <is>
          <t>Real Results Portfolio Review</t>
        </is>
      </c>
    </row>
    <row r="3">
      <c r="A3" s="2" t="inlineStr">
        <is>
          <t>Account Size</t>
        </is>
      </c>
      <c r="B3" s="3" t="n">
        <v>10000</v>
      </c>
      <c r="D3" s="4" t="inlineStr">
        <is>
          <t>Blue = editable input. Yellow fill = tweak these and formulas will recalculate.</t>
        </is>
      </c>
    </row>
    <row r="4">
      <c r="A4" s="2" t="inlineStr">
        <is>
          <t>DD Tolerance</t>
        </is>
      </c>
      <c r="B4" s="5" t="n">
        <v>0.1</v>
      </c>
    </row>
    <row r="5">
      <c r="A5" s="2" t="inlineStr">
        <is>
          <t>Backtest Months</t>
        </is>
      </c>
      <c r="B5" s="6" t="inlineStr">
        <is>
          <t>(auto per row)</t>
        </is>
      </c>
    </row>
    <row r="7" ht="22" customHeight="1">
      <c r="A7" s="7" t="inlineStr">
        <is>
          <t>Strategy</t>
        </is>
      </c>
      <c r="B7" s="7" t="inlineStr">
        <is>
          <t>Trades</t>
        </is>
      </c>
      <c r="C7" s="7" t="inlineStr">
        <is>
          <t>Max Open</t>
        </is>
      </c>
      <c r="D7" s="7" t="inlineStr">
        <is>
          <t>Lot Size</t>
        </is>
      </c>
      <c r="E7" s="7" t="inlineStr">
        <is>
          <t>Months</t>
        </is>
      </c>
      <c r="F7" s="7" t="inlineStr">
        <is>
          <t>Net P&amp;L</t>
        </is>
      </c>
      <c r="G7" s="7" t="inlineStr">
        <is>
          <t>Max DD</t>
        </is>
      </c>
      <c r="H7" s="7" t="inlineStr">
        <is>
          <t>Allowable DD</t>
        </is>
      </c>
      <c r="I7" s="7" t="inlineStr">
        <is>
          <t>Safety Factor</t>
        </is>
      </c>
      <c r="J7" s="7" t="inlineStr">
        <is>
          <t>Monthly %</t>
        </is>
      </c>
      <c r="K7" s="7" t="inlineStr">
        <is>
          <t>Risk Mode</t>
        </is>
      </c>
    </row>
    <row r="8">
      <c r="A8" s="8" t="inlineStr">
        <is>
          <t>JapanStrike_USDJPY_M15</t>
        </is>
      </c>
      <c r="B8" s="9" t="n">
        <v>70</v>
      </c>
      <c r="C8" s="10" t="n">
        <v>7</v>
      </c>
      <c r="D8" s="11" t="n">
        <v>0.04</v>
      </c>
      <c r="E8" s="12" t="n">
        <v>0.4927726675427069</v>
      </c>
      <c r="F8" s="13" t="n">
        <v>103.13</v>
      </c>
      <c r="G8" s="13" t="n">
        <v>296.56</v>
      </c>
      <c r="H8" s="14">
        <f>IF($K8="AUTO_RISK",$B$4,$B$3*$B$4)</f>
        <v/>
      </c>
      <c r="I8" s="15">
        <f>IF(OR(G8=0,G8=""),"",H8/G8)</f>
        <v/>
      </c>
      <c r="J8" s="16">
        <f>IF(OR($B$3=0,E8=0,E8=""),"",IF($K8="AUTO_RISK",IF(1+(F8/$B$3)&lt;=0,-1,POWER(1+(F8/$B$3),1/E8)-1),(F8/$B$3)/E8))</f>
        <v/>
      </c>
      <c r="K8" s="8" t="inlineStr">
        <is>
          <t>FIXED_LOT</t>
        </is>
      </c>
    </row>
    <row r="9">
      <c r="A9" s="8" t="inlineStr">
        <is>
          <t>Eurostable_EURUSD_M15 | EURUSD | magic 12000</t>
        </is>
      </c>
      <c r="B9" s="9" t="n">
        <v>74</v>
      </c>
      <c r="C9" s="10" t="n">
        <v>11</v>
      </c>
      <c r="D9" s="11" t="n">
        <v>0.01</v>
      </c>
      <c r="E9" s="12" t="n">
        <v>0.4599211563731931</v>
      </c>
      <c r="F9" s="13" t="n">
        <v>53.48</v>
      </c>
      <c r="G9" s="13" t="n">
        <v>44.45</v>
      </c>
      <c r="H9" s="14">
        <f>IF($K9="AUTO_RISK",$B$4,$B$3*$B$4)</f>
        <v/>
      </c>
      <c r="I9" s="15">
        <f>IF(OR(G9=0,G9=""),"",H9/G9)</f>
        <v/>
      </c>
      <c r="J9" s="16">
        <f>IF(OR($B$3=0,E9=0,E9=""),"",IF($K9="AUTO_RISK",IF(1+(F9/$B$3)&lt;=0,-1,POWER(1+(F9/$B$3),1/E9)-1),(F9/$B$3)/E9))</f>
        <v/>
      </c>
      <c r="K9" s="8" t="inlineStr">
        <is>
          <t>FIXED_LOT</t>
        </is>
      </c>
    </row>
    <row r="10">
      <c r="A10" s="8" t="inlineStr">
        <is>
          <t>Multipair_EURUSD_M15 | EURUSD | magic 10000</t>
        </is>
      </c>
      <c r="B10" s="9" t="n">
        <v>26</v>
      </c>
      <c r="C10" s="10" t="n">
        <v>10</v>
      </c>
      <c r="D10" s="11" t="n">
        <v>0.02</v>
      </c>
      <c r="E10" s="12" t="n">
        <v>0.2956636005256242</v>
      </c>
      <c r="F10" s="13" t="n">
        <v>41.96</v>
      </c>
      <c r="G10" s="13" t="n">
        <v>129.94</v>
      </c>
      <c r="H10" s="14">
        <f>IF($K10="AUTO_RISK",$B$4,$B$3*$B$4)</f>
        <v/>
      </c>
      <c r="I10" s="15">
        <f>IF(OR(G10=0,G10=""),"",H10/G10)</f>
        <v/>
      </c>
      <c r="J10" s="16">
        <f>IF(OR($B$3=0,E10=0,E10=""),"",IF($K10="AUTO_RISK",IF(1+(F10/$B$3)&lt;=0,-1,POWER(1+(F10/$B$3),1/E10)-1),(F10/$B$3)/E10))</f>
        <v/>
      </c>
      <c r="K10" s="8" t="inlineStr">
        <is>
          <t>FIXED_LOT</t>
        </is>
      </c>
    </row>
    <row r="11">
      <c r="A11" s="8" t="inlineStr">
        <is>
          <t>Multipair_GBPUSD_M15 | GBPUSD</t>
        </is>
      </c>
      <c r="B11" s="9" t="n">
        <v>27</v>
      </c>
      <c r="C11" s="10" t="n">
        <v>3</v>
      </c>
      <c r="D11" s="11" t="n">
        <v>0.03</v>
      </c>
      <c r="E11" s="12" t="n">
        <v>0.4927726675427069</v>
      </c>
      <c r="F11" s="13" t="n">
        <v>100.13</v>
      </c>
      <c r="G11" s="13" t="n">
        <v>41.1</v>
      </c>
      <c r="H11" s="14">
        <f>IF($K11="AUTO_RISK",$B$4,$B$3*$B$4)</f>
        <v/>
      </c>
      <c r="I11" s="15">
        <f>IF(OR(G11=0,G11=""),"",H11/G11)</f>
        <v/>
      </c>
      <c r="J11" s="16">
        <f>IF(OR($B$3=0,E11=0,E11=""),"",IF($K11="AUTO_RISK",IF(1+(F11/$B$3)&lt;=0,-1,POWER(1+(F11/$B$3),1/E11)-1),(F11/$B$3)/E11))</f>
        <v/>
      </c>
      <c r="K11" s="8" t="inlineStr">
        <is>
          <t>FIXED_LOT</t>
        </is>
      </c>
    </row>
    <row r="12">
      <c r="A12" s="8" t="inlineStr">
        <is>
          <t>Multipair_EURJPY_M15 | EURJPY</t>
        </is>
      </c>
      <c r="B12" s="9" t="n">
        <v>29</v>
      </c>
      <c r="C12" s="10" t="n">
        <v>3</v>
      </c>
      <c r="D12" s="11" t="n">
        <v>0.02</v>
      </c>
      <c r="E12" s="12" t="n">
        <v>0.5256241787122208</v>
      </c>
      <c r="F12" s="13" t="n">
        <v>12.11</v>
      </c>
      <c r="G12" s="13" t="n">
        <v>31.87</v>
      </c>
      <c r="H12" s="14">
        <f>IF($K12="AUTO_RISK",$B$4,$B$3*$B$4)</f>
        <v/>
      </c>
      <c r="I12" s="15">
        <f>IF(OR(G12=0,G12=""),"",H12/G12)</f>
        <v/>
      </c>
      <c r="J12" s="16">
        <f>IF(OR($B$3=0,E12=0,E12=""),"",IF($K12="AUTO_RISK",IF(1+(F12/$B$3)&lt;=0,-1,POWER(1+(F12/$B$3),1/E12)-1),(F12/$B$3)/E12))</f>
        <v/>
      </c>
      <c r="K12" s="8" t="inlineStr">
        <is>
          <t>FIXED_LOT</t>
        </is>
      </c>
    </row>
    <row r="13">
      <c r="A13" s="17" t="inlineStr">
        <is>
          <t>PORTFOLIO</t>
        </is>
      </c>
      <c r="B13" s="18" t="inlineStr"/>
      <c r="C13" s="18" t="n">
        <v>20</v>
      </c>
      <c r="D13" s="18" t="inlineStr"/>
      <c r="E13" s="19" t="n">
        <v>0.5256241787122208</v>
      </c>
      <c r="F13" s="20">
        <f>SUM(F8:F12)</f>
        <v/>
      </c>
      <c r="G13" s="20" t="n">
        <v>32.76</v>
      </c>
      <c r="H13" s="21">
        <f>IF($K13="AUTO_RISK",$B$4,$B$3*$B$4)</f>
        <v/>
      </c>
      <c r="I13" s="22">
        <f>IF(OR(G13=0,G13=""),"",H13/G13)</f>
        <v/>
      </c>
      <c r="J13" s="23">
        <f>IF(OR($B$3=0,E13=0,E13=""),"",IF($K13="AUTO_RISK",IF(1+(F13/$B$3)&lt;=0,-1,POWER(1+(F13/$B$3),1/E13)-1),(F13/$B$3)/E13))</f>
        <v/>
      </c>
      <c r="K13" s="17" t="inlineStr">
        <is>
          <t>FIXED_LOT</t>
        </is>
      </c>
    </row>
  </sheetData>
  <mergeCells count="2">
    <mergeCell ref="D3:J3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2026-04-15T06:28:57Z</dcterms:created>
  <dcterms:modified xsi:type="dcterms:W3CDTF">2026-04-15T06:28:57Z</dcterms:modified>
</cp:coreProperties>
</file>