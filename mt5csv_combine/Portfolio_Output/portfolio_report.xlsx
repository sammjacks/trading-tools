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0.0%"/>
    <numFmt numFmtId="166" formatCode="0.0"/>
    <numFmt numFmtId="167" formatCode="0.00&quot;x&quot;"/>
    <numFmt numFmtId="168" formatCode="&quot;$&quot;#,##0.00;(&quot;$&quot;#,##0.00);-"/>
    <numFmt numFmtId="169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pivotButton="0" quotePrefix="0" xfId="0"/>
    <xf numFmtId="0" fontId="4" fillId="0" borderId="0" pivotButton="0" quotePrefix="0" xfId="0"/>
    <xf numFmtId="165" fontId="3" fillId="2" borderId="1" pivotButton="0" quotePrefix="0" xfId="0"/>
    <xf numFmtId="166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167" fontId="6" fillId="0" borderId="1" pivotButton="0" quotePrefix="0" xfId="0"/>
    <xf numFmtId="166" fontId="3" fillId="2" borderId="1" pivotButton="0" quotePrefix="0" xfId="0"/>
    <xf numFmtId="168" fontId="3" fillId="2" borderId="1" pivotButton="0" quotePrefix="0" xfId="0"/>
    <xf numFmtId="169" fontId="6" fillId="0" borderId="1" pivotButton="0" quotePrefix="0" xfId="0"/>
    <xf numFmtId="10" fontId="6" fillId="0" borderId="1" pivotButton="0" quotePrefix="0" xfId="0"/>
    <xf numFmtId="0" fontId="2" fillId="4" borderId="1" pivotButton="0" quotePrefix="0" xfId="0"/>
    <xf numFmtId="0" fontId="0" fillId="4" borderId="1" pivotButton="0" quotePrefix="0" xfId="0"/>
    <xf numFmtId="166" fontId="7" fillId="2" borderId="1" pivotButton="0" quotePrefix="0" xfId="0"/>
    <xf numFmtId="168" fontId="7" fillId="2" borderId="1" pivotButton="0" quotePrefix="0" xfId="0"/>
    <xf numFmtId="169" fontId="2" fillId="4" borderId="1" pivotButton="0" quotePrefix="0" xfId="0"/>
    <xf numFmtId="167" fontId="2" fillId="4" borderId="1" pivotButton="0" quotePrefix="0" xfId="0"/>
    <xf numFmtId="1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16" customWidth="1" min="7" max="7"/>
    <col width="13" customWidth="1" min="8" max="8"/>
  </cols>
  <sheetData>
    <row r="1" ht="22" customHeight="1">
      <c r="A1" s="1" t="inlineStr">
        <is>
          <t>NightForex Portfolio</t>
        </is>
      </c>
    </row>
    <row r="3">
      <c r="A3" s="2" t="inlineStr">
        <is>
          <t>Account Size</t>
        </is>
      </c>
      <c r="B3" s="3" t="n">
        <v>15000</v>
      </c>
      <c r="D3" s="4" t="inlineStr">
        <is>
          <t>Blue = editable input.  Yellow fill = tweak these and formulas recalculate.</t>
        </is>
      </c>
    </row>
    <row r="4">
      <c r="A4" s="2" t="inlineStr">
        <is>
          <t>DD Tolerance</t>
        </is>
      </c>
      <c r="B4" s="5" t="n">
        <v>0.1</v>
      </c>
    </row>
    <row r="5">
      <c r="A5" s="2" t="inlineStr">
        <is>
          <t>Backtest Months</t>
        </is>
      </c>
      <c r="B5" s="6" t="inlineStr">
        <is>
          <t>(auto per row)</t>
        </is>
      </c>
    </row>
    <row r="7" ht="22" customHeight="1">
      <c r="A7" s="7" t="inlineStr">
        <is>
          <t>Strategy</t>
        </is>
      </c>
      <c r="B7" s="7" t="inlineStr">
        <is>
          <t>Scale</t>
        </is>
      </c>
      <c r="C7" s="7" t="inlineStr">
        <is>
          <t>Months</t>
        </is>
      </c>
      <c r="D7" s="7" t="inlineStr">
        <is>
          <t>Net P&amp;L</t>
        </is>
      </c>
      <c r="E7" s="7" t="inlineStr">
        <is>
          <t>Max DD</t>
        </is>
      </c>
      <c r="F7" s="7" t="inlineStr">
        <is>
          <t>Allowable DD</t>
        </is>
      </c>
      <c r="G7" s="7" t="inlineStr">
        <is>
          <t>Safety Factor</t>
        </is>
      </c>
      <c r="H7" s="7" t="inlineStr">
        <is>
          <t>Monthly %</t>
        </is>
      </c>
    </row>
    <row r="8">
      <c r="A8" s="8" t="inlineStr">
        <is>
          <t>AUDUSD</t>
        </is>
      </c>
      <c r="B8" s="9" t="n">
        <v>1</v>
      </c>
      <c r="C8" s="10" t="n">
        <v>48.98160315374507</v>
      </c>
      <c r="D8" s="11" t="n">
        <v>1628.04</v>
      </c>
      <c r="E8" s="11" t="n">
        <v>417.93</v>
      </c>
      <c r="F8" s="12">
        <f>$B$3*$B$4</f>
        <v/>
      </c>
      <c r="G8" s="9">
        <f>IF(OR(E8=0,E8=""),"",F8/E8)</f>
        <v/>
      </c>
      <c r="H8" s="13">
        <f>IF(OR($B$3=0,C8=0,C8=""),"",(D8/$B$3)/C8)</f>
        <v/>
      </c>
    </row>
    <row r="9">
      <c r="A9" s="8" t="inlineStr">
        <is>
          <t>USDCAD</t>
        </is>
      </c>
      <c r="B9" s="9" t="n">
        <v>1</v>
      </c>
      <c r="C9" s="10" t="n">
        <v>49.17871222076215</v>
      </c>
      <c r="D9" s="11" t="n">
        <v>1660.17</v>
      </c>
      <c r="E9" s="11" t="n">
        <v>283.69</v>
      </c>
      <c r="F9" s="12">
        <f>$B$3*$B$4</f>
        <v/>
      </c>
      <c r="G9" s="9">
        <f>IF(OR(E9=0,E9=""),"",F9/E9)</f>
        <v/>
      </c>
      <c r="H9" s="13">
        <f>IF(OR($B$3=0,C9=0,C9=""),"",(D9/$B$3)/C9)</f>
        <v/>
      </c>
    </row>
    <row r="10">
      <c r="A10" s="8" t="inlineStr">
        <is>
          <t>USDJPY</t>
        </is>
      </c>
      <c r="B10" s="9" t="n">
        <v>1</v>
      </c>
      <c r="C10" s="10" t="n">
        <v>49.14586070959264</v>
      </c>
      <c r="D10" s="11" t="n">
        <v>2092.32</v>
      </c>
      <c r="E10" s="11" t="n">
        <v>310.17</v>
      </c>
      <c r="F10" s="12">
        <f>$B$3*$B$4</f>
        <v/>
      </c>
      <c r="G10" s="9">
        <f>IF(OR(E10=0,E10=""),"",F10/E10)</f>
        <v/>
      </c>
      <c r="H10" s="13">
        <f>IF(OR($B$3=0,C10=0,C10=""),"",(D10/$B$3)/C10)</f>
        <v/>
      </c>
    </row>
    <row r="11">
      <c r="A11" s="14" t="inlineStr">
        <is>
          <t>PORTFOLIO</t>
        </is>
      </c>
      <c r="B11" s="15" t="inlineStr"/>
      <c r="C11" s="16" t="n">
        <v>49.17871222076215</v>
      </c>
      <c r="D11" s="17">
        <f>SUM(D8:D10)</f>
        <v/>
      </c>
      <c r="E11" s="17" t="n">
        <v>445.2</v>
      </c>
      <c r="F11" s="18">
        <f>$B$3*$B$4</f>
        <v/>
      </c>
      <c r="G11" s="19">
        <f>IF(OR(E11=0,E11=""),"",F11/E11)</f>
        <v/>
      </c>
      <c r="H11" s="20">
        <f>IF(OR($B$3=0,C11=0,C11=""),"",(D11/$B$3)/C11)</f>
        <v/>
      </c>
    </row>
  </sheetData>
  <mergeCells count="2">
    <mergeCell ref="D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2026-04-29T06:51:29Z</dcterms:created>
  <dcterms:modified xsi:type="dcterms:W3CDTF">2026-04-29T06:51:29Z</dcterms:modified>
</cp:coreProperties>
</file>